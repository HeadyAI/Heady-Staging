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 &amp; Budget" sheetId="1" state="visible" r:id="rId1"/>
    <sheet xmlns:r="http://schemas.openxmlformats.org/officeDocument/2006/relationships" name="Patent Map" sheetId="2" state="visible" r:id="rId2"/>
    <sheet xmlns:r="http://schemas.openxmlformats.org/officeDocument/2006/relationships" name="Domains" sheetId="3" state="visible" r:id="rId3"/>
    <sheet xmlns:r="http://schemas.openxmlformats.org/officeDocument/2006/relationships" name="Task Board" sheetId="4" state="visible" r:id="rId4"/>
    <sheet xmlns:r="http://schemas.openxmlformats.org/officeDocument/2006/relationships" name="Swarm Capacity" sheetId="5" state="visible" r:id="rId5"/>
    <sheet xmlns:r="http://schemas.openxmlformats.org/officeDocument/2006/relationships" name="φ-Consta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;($#,##0);&quot;-&quot;"/>
    <numFmt numFmtId="166" formatCode="0.000"/>
    <numFmt numFmtId="167" formatCode="0.0%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F172A"/>
      <sz val="10"/>
    </font>
    <font>
      <name val="Arial"/>
      <color rgb="001E293B"/>
      <sz val="10"/>
    </font>
    <font>
      <name val="Arial"/>
      <b val="1"/>
      <color rgb="0000D4AA"/>
      <sz val="10"/>
    </font>
    <font>
      <name val="Arial"/>
      <color rgb="0022C55E"/>
      <sz val="10"/>
    </font>
    <font>
      <name val="Consolas"/>
      <color rgb="001E293B"/>
      <sz val="10"/>
    </font>
    <font>
      <name val="Arial"/>
      <b val="1"/>
      <color rgb="000F172A"/>
      <sz val="11"/>
    </font>
    <font>
      <name val="Arial"/>
      <b val="1"/>
      <color rgb="0000D4AA"/>
      <sz val="11"/>
    </font>
    <font>
      <name val="Arial"/>
      <b val="1"/>
      <color rgb="00F0C040"/>
      <sz val="10"/>
    </font>
    <font>
      <name val="Arial"/>
      <b val="1"/>
      <color rgb="007C5EFF"/>
      <sz val="10"/>
    </font>
    <font>
      <name val="Arial"/>
      <b val="1"/>
      <color rgb="00EF4444"/>
      <sz val="10"/>
    </font>
    <font>
      <name val="Arial"/>
      <b val="1"/>
      <color rgb="0094A3B8"/>
      <sz val="10"/>
    </font>
    <font>
      <name val="Arial"/>
      <b val="1"/>
      <color rgb="003B82F6"/>
      <sz val="10"/>
    </font>
    <font>
      <name val="Arial"/>
      <b val="1"/>
      <color rgb="007C5EFF"/>
      <sz val="14"/>
    </font>
    <font>
      <name val="Arial"/>
      <b val="1"/>
      <color rgb="00EF4444"/>
      <sz val="14"/>
    </font>
    <font>
      <name val="Arial"/>
      <b val="1"/>
      <color rgb="0022C55E"/>
      <sz val="14"/>
    </font>
    <font>
      <name val="Arial"/>
      <b val="1"/>
      <color rgb="0022C55E"/>
      <sz val="10"/>
    </font>
    <font>
      <name val="Arial"/>
      <b val="1"/>
      <color rgb="0000D4AA"/>
      <sz val="14"/>
    </font>
    <font>
      <name val="Consolas"/>
      <color rgb="0000D4AA"/>
      <sz val="10"/>
    </font>
    <font>
      <name val="Consolas"/>
      <color rgb="00EF4444"/>
      <sz val="10"/>
    </font>
    <font>
      <name val="Arial"/>
      <b val="1"/>
      <color rgb="003B82F6"/>
      <sz val="14"/>
    </font>
    <font>
      <name val="Consolas"/>
      <b val="1"/>
      <color rgb="0000D4AA"/>
      <sz val="10"/>
    </font>
    <font>
      <name val="Arial"/>
      <b val="1"/>
      <color rgb="007C5EFF"/>
      <sz val="11"/>
    </font>
    <font>
      <name val="Arial"/>
      <b val="1"/>
      <color rgb="00F0C040"/>
      <sz val="14"/>
    </font>
    <font>
      <name val="Consolas"/>
      <color rgb="007C5EFF"/>
      <sz val="10"/>
    </font>
    <font>
      <name val="Consolas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0" fontId="2" fillId="0" borderId="0" pivotButton="0" quotePrefix="0" xfId="0"/>
    <xf numFmtId="164" fontId="9" fillId="0" borderId="0" pivotButton="0" quotePrefix="0" xfId="0"/>
    <xf numFmtId="165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8" fillId="0" borderId="0" pivotButton="0" quotePrefix="0" xfId="0"/>
    <xf numFmtId="166" fontId="3" fillId="3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21" fillId="0" borderId="0" pivotButton="0" quotePrefix="0" xfId="0"/>
    <xf numFmtId="167" fontId="18" fillId="0" borderId="0" pivotButton="0" quotePrefix="0" xfId="0"/>
    <xf numFmtId="166" fontId="14" fillId="0" borderId="0" pivotButton="0" quotePrefix="0" xfId="0"/>
    <xf numFmtId="167" fontId="3" fillId="3" borderId="1" applyAlignment="1" pivotButton="0" quotePrefix="0" xfId="0">
      <alignment horizontal="left" vertical="center"/>
    </xf>
    <xf numFmtId="167" fontId="3" fillId="0" borderId="1" applyAlignment="1" pivotButton="0" quotePrefix="0" xfId="0">
      <alignment horizontal="left" vertical="center"/>
    </xf>
    <xf numFmtId="0" fontId="23" fillId="0" borderId="0" pivotButton="0" quotePrefix="0" xfId="0"/>
    <xf numFmtId="0" fontId="8" fillId="0" borderId="0" pivotButton="0" quotePrefix="0" xfId="0"/>
    <xf numFmtId="0" fontId="2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Cost by Service</a:t>
            </a:r>
          </a:p>
        </rich>
      </tx>
    </title>
    <plotArea>
      <pieChart>
        <varyColors val="1"/>
        <ser>
          <idx val="0"/>
          <order val="0"/>
          <tx>
            <strRef>
              <f>'Services &amp; Budget'!D1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'Services &amp; Budget'!$A$2:$A$13</f>
            </numRef>
          </cat>
          <val>
            <numRef>
              <f>'Services &amp; Budget'!$D$2:$D$13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Bees by Swarm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'Swarm Capacity'!H1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'Swarm Capacity'!$B$2:$B$18</f>
            </numRef>
          </cat>
          <val>
            <numRef>
              <f>'Swarm Capacity'!$H$2:$H$18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0D4AA"/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44" customWidth="1" min="6" max="6"/>
    <col width="10" customWidth="1" min="7" max="7"/>
    <col width="10" customWidth="1" min="8" max="8"/>
    <col width="18" customWidth="1" min="9" max="9"/>
  </cols>
  <sheetData>
    <row r="1">
      <c r="A1" s="1" t="inlineStr">
        <is>
          <t>Service</t>
        </is>
      </c>
      <c r="B1" s="1" t="inlineStr">
        <is>
          <t>Provider</t>
        </is>
      </c>
      <c r="C1" s="1" t="inlineStr">
        <is>
          <t>Tier</t>
        </is>
      </c>
      <c r="D1" s="1" t="inlineStr">
        <is>
          <t>Monthly Cost</t>
        </is>
      </c>
      <c r="E1" s="1" t="inlineStr">
        <is>
          <t>Annual Cost</t>
        </is>
      </c>
      <c r="F1" s="1" t="inlineStr">
        <is>
          <t>Role</t>
        </is>
      </c>
      <c r="G1" s="1" t="inlineStr">
        <is>
          <t>Status</t>
        </is>
      </c>
      <c r="H1" s="1" t="inlineStr">
        <is>
          <t>SLA</t>
        </is>
      </c>
      <c r="I1" s="1" t="inlineStr">
        <is>
          <t>Failover</t>
        </is>
      </c>
    </row>
    <row r="2">
      <c r="A2" s="2" t="inlineStr">
        <is>
          <t>Upstash Redis</t>
        </is>
      </c>
      <c r="B2" s="2" t="inlineStr">
        <is>
          <t>Upstash</t>
        </is>
      </c>
      <c r="C2" s="2" t="inlineStr">
        <is>
          <t>Pro</t>
        </is>
      </c>
      <c r="D2" s="3" t="n">
        <v>10</v>
      </c>
      <c r="E2" s="3">
        <f>D2*12</f>
        <v/>
      </c>
      <c r="F2" s="2" t="inlineStr">
        <is>
          <t>T0 Working Memory, QStash, Streams</t>
        </is>
      </c>
      <c r="G2" s="2" t="inlineStr">
        <is>
          <t>Active</t>
        </is>
      </c>
      <c r="H2" s="2" t="inlineStr">
        <is>
          <t>99.99%</t>
        </is>
      </c>
      <c r="I2" s="2" t="inlineStr">
        <is>
          <t>Local cache</t>
        </is>
      </c>
    </row>
    <row r="3">
      <c r="A3" s="4" t="inlineStr">
        <is>
          <t>Neon Postgres</t>
        </is>
      </c>
      <c r="B3" s="4" t="inlineStr">
        <is>
          <t>Neon</t>
        </is>
      </c>
      <c r="C3" s="4" t="inlineStr">
        <is>
          <t>Pro</t>
        </is>
      </c>
      <c r="D3" s="5" t="n">
        <v>19</v>
      </c>
      <c r="E3" s="5">
        <f>D3*12</f>
        <v/>
      </c>
      <c r="F3" s="4" t="inlineStr">
        <is>
          <t>T1 pgvector (384D HNSW), persistent memory</t>
        </is>
      </c>
      <c r="G3" s="4" t="inlineStr">
        <is>
          <t>Active</t>
        </is>
      </c>
      <c r="H3" s="4" t="inlineStr">
        <is>
          <t>99.95%</t>
        </is>
      </c>
      <c r="I3" s="4" t="inlineStr">
        <is>
          <t>Azure Cosmos DB</t>
        </is>
      </c>
    </row>
    <row r="4">
      <c r="A4" s="2" t="inlineStr">
        <is>
          <t>Cloudflare Workers</t>
        </is>
      </c>
      <c r="B4" s="2" t="inlineStr">
        <is>
          <t>Cloudflare</t>
        </is>
      </c>
      <c r="C4" s="2" t="inlineStr">
        <is>
          <t>Paid</t>
        </is>
      </c>
      <c r="D4" s="3" t="n">
        <v>5</v>
      </c>
      <c r="E4" s="3">
        <f>D4*12</f>
        <v/>
      </c>
      <c r="F4" s="2" t="inlineStr">
        <is>
          <t>Edge proxy, AI Gateway, KV, R2, Pages</t>
        </is>
      </c>
      <c r="G4" s="2" t="inlineStr">
        <is>
          <t>Active</t>
        </is>
      </c>
      <c r="H4" s="2" t="inlineStr">
        <is>
          <t>99.99%</t>
        </is>
      </c>
      <c r="I4" s="2" t="inlineStr">
        <is>
          <t>Cloud Run direct</t>
        </is>
      </c>
    </row>
    <row r="5">
      <c r="A5" s="4" t="inlineStr">
        <is>
          <t>GCP Cloud Run</t>
        </is>
      </c>
      <c r="B5" s="4" t="inlineStr">
        <is>
          <t>Google</t>
        </is>
      </c>
      <c r="C5" s="4" t="inlineStr">
        <is>
          <t>Pay-per-use</t>
        </is>
      </c>
      <c r="D5" s="5" t="n">
        <v>75</v>
      </c>
      <c r="E5" s="5">
        <f>D5*12</f>
        <v/>
      </c>
      <c r="F5" s="4" t="inlineStr">
        <is>
          <t>Primary API server (Express)</t>
        </is>
      </c>
      <c r="G5" s="4" t="inlineStr">
        <is>
          <t>Active</t>
        </is>
      </c>
      <c r="H5" s="4" t="inlineStr">
        <is>
          <t>99.95%</t>
        </is>
      </c>
      <c r="I5" s="4" t="inlineStr">
        <is>
          <t>Azure Container Apps</t>
        </is>
      </c>
    </row>
    <row r="6">
      <c r="A6" s="2" t="inlineStr">
        <is>
          <t>Firebase Auth</t>
        </is>
      </c>
      <c r="B6" s="2" t="inlineStr">
        <is>
          <t>Google</t>
        </is>
      </c>
      <c r="C6" s="2" t="inlineStr">
        <is>
          <t>Free</t>
        </is>
      </c>
      <c r="D6" s="3" t="n">
        <v>0</v>
      </c>
      <c r="E6" s="3">
        <f>D6*12</f>
        <v/>
      </c>
      <c r="F6" s="2" t="inlineStr">
        <is>
          <t>27 OAuth providers, cross-domain SSO</t>
        </is>
      </c>
      <c r="G6" s="2" t="inlineStr">
        <is>
          <t>Active</t>
        </is>
      </c>
      <c r="H6" s="2" t="inlineStr">
        <is>
          <t>99.95%</t>
        </is>
      </c>
      <c r="I6" s="2" t="inlineStr">
        <is>
          <t>Custom JWT</t>
        </is>
      </c>
    </row>
    <row r="7">
      <c r="A7" s="4" t="inlineStr">
        <is>
          <t>Gemini Flash-Lite</t>
        </is>
      </c>
      <c r="B7" s="4" t="inlineStr">
        <is>
          <t>Google</t>
        </is>
      </c>
      <c r="C7" s="4" t="inlineStr">
        <is>
          <t>Pay-per-use</t>
        </is>
      </c>
      <c r="D7" s="5" t="n">
        <v>15</v>
      </c>
      <c r="E7" s="5">
        <f>D7*12</f>
        <v/>
      </c>
      <c r="F7" s="4" t="inlineStr">
        <is>
          <t>Primary LLM (temp 0.618)</t>
        </is>
      </c>
      <c r="G7" s="4" t="inlineStr">
        <is>
          <t>Active</t>
        </is>
      </c>
      <c r="H7" s="4" t="inlineStr">
        <is>
          <t>99.9%</t>
        </is>
      </c>
      <c r="I7" s="4" t="inlineStr">
        <is>
          <t>Azure OpenAI</t>
        </is>
      </c>
    </row>
    <row r="8">
      <c r="A8" s="2" t="inlineStr">
        <is>
          <t>Azure OpenAI</t>
        </is>
      </c>
      <c r="B8" s="2" t="inlineStr">
        <is>
          <t>Microsoft</t>
        </is>
      </c>
      <c r="C8" s="2" t="inlineStr">
        <is>
          <t>Pay-per-use</t>
        </is>
      </c>
      <c r="D8" s="3" t="n">
        <v>50</v>
      </c>
      <c r="E8" s="3">
        <f>D8*12</f>
        <v/>
      </c>
      <c r="F8" s="2" t="inlineStr">
        <is>
          <t>Secondary LLM (GPT-4o-mini)</t>
        </is>
      </c>
      <c r="G8" s="2" t="inlineStr">
        <is>
          <t>Active</t>
        </is>
      </c>
      <c r="H8" s="2" t="inlineStr">
        <is>
          <t>99.9%</t>
        </is>
      </c>
      <c r="I8" s="2" t="inlineStr">
        <is>
          <t>Workers AI</t>
        </is>
      </c>
    </row>
    <row r="9">
      <c r="A9" s="4" t="inlineStr">
        <is>
          <t>Workers AI</t>
        </is>
      </c>
      <c r="B9" s="4" t="inlineStr">
        <is>
          <t>Cloudflare</t>
        </is>
      </c>
      <c r="C9" s="4" t="inlineStr">
        <is>
          <t>Free</t>
        </is>
      </c>
      <c r="D9" s="5" t="n">
        <v>0</v>
      </c>
      <c r="E9" s="5">
        <f>D9*12</f>
        <v/>
      </c>
      <c r="F9" s="4" t="inlineStr">
        <is>
          <t>Tertiary LLM (Llama 3.1 8B)</t>
        </is>
      </c>
      <c r="G9" s="4" t="inlineStr">
        <is>
          <t>Active</t>
        </is>
      </c>
      <c r="H9" s="4" t="inlineStr">
        <is>
          <t>99.99%</t>
        </is>
      </c>
      <c r="I9" s="4" t="inlineStr">
        <is>
          <t>Colab vLLM</t>
        </is>
      </c>
    </row>
    <row r="10">
      <c r="A10" s="2" t="inlineStr">
        <is>
          <t>Sentry</t>
        </is>
      </c>
      <c r="B10" s="2" t="inlineStr">
        <is>
          <t>Sentry</t>
        </is>
      </c>
      <c r="C10" s="2" t="inlineStr">
        <is>
          <t>Free</t>
        </is>
      </c>
      <c r="D10" s="3" t="n">
        <v>0</v>
      </c>
      <c r="E10" s="3">
        <f>D10*12</f>
        <v/>
      </c>
      <c r="F10" s="2" t="inlineStr">
        <is>
          <t>Error fortress, distributed tracing, Crons</t>
        </is>
      </c>
      <c r="G10" s="2" t="inlineStr">
        <is>
          <t>Active</t>
        </is>
      </c>
      <c r="H10" s="2" t="inlineStr">
        <is>
          <t>99.9%</t>
        </is>
      </c>
      <c r="I10" s="2" t="inlineStr">
        <is>
          <t>Structured logs</t>
        </is>
      </c>
    </row>
    <row r="11">
      <c r="A11" s="4" t="inlineStr">
        <is>
          <t>HuggingFace</t>
        </is>
      </c>
      <c r="B11" s="4" t="inlineStr">
        <is>
          <t>HuggingFace</t>
        </is>
      </c>
      <c r="C11" s="4" t="inlineStr">
        <is>
          <t>Free</t>
        </is>
      </c>
      <c r="D11" s="5" t="n">
        <v>0</v>
      </c>
      <c r="E11" s="5">
        <f>D11*12</f>
        <v/>
      </c>
      <c r="F11" s="4" t="inlineStr">
        <is>
          <t>3-token rotation embeddings (384D)</t>
        </is>
      </c>
      <c r="G11" s="4" t="inlineStr">
        <is>
          <t>Active</t>
        </is>
      </c>
      <c r="H11" s="4" t="inlineStr">
        <is>
          <t>99.5%</t>
        </is>
      </c>
      <c r="I11" s="4" t="inlineStr">
        <is>
          <t>Local model</t>
        </is>
      </c>
    </row>
    <row r="12">
      <c r="A12" s="2" t="inlineStr">
        <is>
          <t>Colab Pro+</t>
        </is>
      </c>
      <c r="B12" s="2" t="inlineStr">
        <is>
          <t>Google</t>
        </is>
      </c>
      <c r="C12" s="2" t="inlineStr">
        <is>
          <t>Pro+</t>
        </is>
      </c>
      <c r="D12" s="3" t="n">
        <v>50</v>
      </c>
      <c r="E12" s="3">
        <f>D12*12</f>
        <v/>
      </c>
      <c r="F12" s="2" t="inlineStr">
        <is>
          <t>4 GPU runtimes (A100/L4)</t>
        </is>
      </c>
      <c r="G12" s="2" t="inlineStr">
        <is>
          <t>Active</t>
        </is>
      </c>
      <c r="H12" s="2" t="inlineStr">
        <is>
          <t>Best effort</t>
        </is>
      </c>
      <c r="I12" s="2" t="inlineStr">
        <is>
          <t>Cloud Run CPU</t>
        </is>
      </c>
    </row>
    <row r="13">
      <c r="A13" s="4" t="inlineStr">
        <is>
          <t>Domains (11)</t>
        </is>
      </c>
      <c r="B13" s="4" t="inlineStr">
        <is>
          <t>Cloudflare</t>
        </is>
      </c>
      <c r="C13" s="4" t="inlineStr">
        <is>
          <t>Registrar</t>
        </is>
      </c>
      <c r="D13" s="5" t="n">
        <v>13</v>
      </c>
      <c r="E13" s="5">
        <f>D13*12</f>
        <v/>
      </c>
      <c r="F13" s="4" t="inlineStr">
        <is>
          <t>11 domains annual ÷ 12</t>
        </is>
      </c>
      <c r="G13" s="4" t="inlineStr">
        <is>
          <t>Active</t>
        </is>
      </c>
      <c r="H13" s="4" t="inlineStr">
        <is>
          <t>99.99%</t>
        </is>
      </c>
      <c r="I13" s="4" t="inlineStr">
        <is>
          <t>—</t>
        </is>
      </c>
    </row>
    <row r="14">
      <c r="A14" s="4" t="inlineStr">
        <is>
          <t>TOTAL</t>
        </is>
      </c>
      <c r="B14" s="4" t="n"/>
      <c r="C14" s="4" t="n"/>
      <c r="D14" s="5">
        <f>SUM(D2:D13)</f>
        <v/>
      </c>
      <c r="E14" s="5">
        <f>SUM(E2:E13)</f>
        <v/>
      </c>
      <c r="F14" s="4" t="n"/>
      <c r="G14" s="4" t="n"/>
      <c r="H14" s="4" t="n"/>
      <c r="I14" s="4" t="n"/>
    </row>
    <row r="16">
      <c r="A16" s="6" t="inlineStr">
        <is>
          <t>Budget Target</t>
        </is>
      </c>
      <c r="D16" s="7" t="n">
        <v>750</v>
      </c>
    </row>
    <row r="17">
      <c r="A17" s="6" t="inlineStr">
        <is>
          <t>Under/Over Budget</t>
        </is>
      </c>
      <c r="D17" s="8">
        <f>D16-D14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C5EFF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0" customWidth="1" min="4" max="4"/>
    <col width="38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Patent 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RTP Code</t>
        </is>
      </c>
      <c r="F1" s="1" t="inlineStr">
        <is>
          <t>Filing Date</t>
        </is>
      </c>
      <c r="G1" s="1" t="inlineStr">
        <is>
          <t>Lock Zone</t>
        </is>
      </c>
      <c r="H1" s="1" t="inlineStr">
        <is>
          <t>Priority</t>
        </is>
      </c>
    </row>
    <row r="2">
      <c r="A2" s="2" t="inlineStr">
        <is>
          <t>HS-001</t>
        </is>
      </c>
      <c r="B2" s="2" t="inlineStr">
        <is>
          <t>Deterministic Context Feed</t>
        </is>
      </c>
      <c r="C2" s="2" t="inlineStr">
        <is>
          <t>AI Orchestration</t>
        </is>
      </c>
      <c r="D2" s="2" t="inlineStr">
        <is>
          <t>Filed</t>
        </is>
      </c>
      <c r="E2" s="2" t="inlineStr">
        <is>
          <t>src/services/llm-router.js</t>
        </is>
      </c>
      <c r="F2" s="2" t="inlineStr">
        <is>
          <t>2026-01</t>
        </is>
      </c>
      <c r="G2" s="2" t="inlineStr">
        <is>
          <t>YES</t>
        </is>
      </c>
      <c r="H2" s="2" t="inlineStr">
        <is>
          <t>Critical</t>
        </is>
      </c>
    </row>
    <row r="3">
      <c r="A3" s="4" t="inlineStr">
        <is>
          <t>HS-009</t>
        </is>
      </c>
      <c r="B3" s="4" t="inlineStr">
        <is>
          <t>IP Sovereignty Sentinel</t>
        </is>
      </c>
      <c r="C3" s="4" t="inlineStr">
        <is>
          <t>Governance</t>
        </is>
      </c>
      <c r="D3" s="4" t="inlineStr">
        <is>
          <t>Filed</t>
        </is>
      </c>
      <c r="E3" s="4" t="inlineStr">
        <is>
          <t>src/services/ast-schema.js</t>
        </is>
      </c>
      <c r="F3" s="4" t="inlineStr">
        <is>
          <t>2026-01</t>
        </is>
      </c>
      <c r="G3" s="4" t="inlineStr">
        <is>
          <t>YES</t>
        </is>
      </c>
      <c r="H3" s="4" t="inlineStr">
        <is>
          <t>Critical</t>
        </is>
      </c>
    </row>
    <row r="4">
      <c r="A4" s="2" t="inlineStr">
        <is>
          <t>HS-024</t>
        </is>
      </c>
      <c r="B4" s="2" t="inlineStr">
        <is>
          <t>Predictive Resource Modeling</t>
        </is>
      </c>
      <c r="C4" s="2" t="inlineStr">
        <is>
          <t>AI Orchestration</t>
        </is>
      </c>
      <c r="D4" s="2" t="inlineStr">
        <is>
          <t>Filed</t>
        </is>
      </c>
      <c r="E4" s="2" t="inlineStr">
        <is>
          <t>colab/node1_overmind.py</t>
        </is>
      </c>
      <c r="F4" s="2" t="inlineStr">
        <is>
          <t>2026-01</t>
        </is>
      </c>
      <c r="G4" s="2" t="inlineStr">
        <is>
          <t>NO</t>
        </is>
      </c>
      <c r="H4" s="2" t="inlineStr">
        <is>
          <t>High</t>
        </is>
      </c>
    </row>
    <row r="5">
      <c r="A5" s="4" t="inlineStr">
        <is>
          <t>HS-051</t>
        </is>
      </c>
      <c r="B5" s="4" t="inlineStr">
        <is>
          <t>Vibe-Match Latency Delta</t>
        </is>
      </c>
      <c r="C5" s="4" t="inlineStr">
        <is>
          <t>Edge Inference</t>
        </is>
      </c>
      <c r="D5" s="4" t="inlineStr">
        <is>
          <t>Filed</t>
        </is>
      </c>
      <c r="E5" s="4" t="inlineStr">
        <is>
          <t>src/services/llm-router.js</t>
        </is>
      </c>
      <c r="F5" s="4" t="inlineStr">
        <is>
          <t>2026-02</t>
        </is>
      </c>
      <c r="G5" s="4" t="inlineStr">
        <is>
          <t>YES</t>
        </is>
      </c>
      <c r="H5" s="4" t="inlineStr">
        <is>
          <t>Critical</t>
        </is>
      </c>
    </row>
    <row r="6">
      <c r="A6" s="2" t="inlineStr">
        <is>
          <t>HS-052</t>
        </is>
      </c>
      <c r="B6" s="2" t="inlineStr">
        <is>
          <t>Shadow Memory Persistence</t>
        </is>
      </c>
      <c r="C6" s="2" t="inlineStr">
        <is>
          <t>Memory Systems</t>
        </is>
      </c>
      <c r="D6" s="2" t="inlineStr">
        <is>
          <t>Filed</t>
        </is>
      </c>
      <c r="E6" s="2" t="inlineStr">
        <is>
          <t>src/services/liquid-deploy.js</t>
        </is>
      </c>
      <c r="F6" s="2" t="inlineStr">
        <is>
          <t>2026-02</t>
        </is>
      </c>
      <c r="G6" s="2" t="inlineStr">
        <is>
          <t>YES</t>
        </is>
      </c>
      <c r="H6" s="2" t="inlineStr">
        <is>
          <t>Critical</t>
        </is>
      </c>
    </row>
    <row r="7">
      <c r="A7" s="4" t="inlineStr">
        <is>
          <t>HS-053</t>
        </is>
      </c>
      <c r="B7" s="4" t="inlineStr">
        <is>
          <t>Neural Stream Telemetry</t>
        </is>
      </c>
      <c r="C7" s="4" t="inlineStr">
        <is>
          <t>Security/PQC</t>
        </is>
      </c>
      <c r="D7" s="4" t="inlineStr">
        <is>
          <t>Filed</t>
        </is>
      </c>
      <c r="E7" s="4" t="inlineStr">
        <is>
          <t>src/telemetry/cognitive-telemetry.js</t>
        </is>
      </c>
      <c r="F7" s="4" t="inlineStr">
        <is>
          <t>2026-02</t>
        </is>
      </c>
      <c r="G7" s="4" t="inlineStr">
        <is>
          <t>YES</t>
        </is>
      </c>
      <c r="H7" s="4" t="inlineStr">
        <is>
          <t>High</t>
        </is>
      </c>
    </row>
    <row r="8">
      <c r="A8" s="2" t="inlineStr">
        <is>
          <t>HS-054</t>
        </is>
      </c>
      <c r="B8" s="2" t="inlineStr">
        <is>
          <t>HeadyField Spatial Intelligence</t>
        </is>
      </c>
      <c r="C8" s="2" t="inlineStr">
        <is>
          <t>Spatial Computing</t>
        </is>
      </c>
      <c r="D8" s="2" t="inlineStr">
        <is>
          <t>Filed</t>
        </is>
      </c>
      <c r="E8" s="2" t="inlineStr">
        <is>
          <t>—</t>
        </is>
      </c>
      <c r="F8" s="2" t="inlineStr">
        <is>
          <t>2026-02</t>
        </is>
      </c>
      <c r="G8" s="2" t="inlineStr">
        <is>
          <t>NO</t>
        </is>
      </c>
      <c r="H8" s="2" t="inlineStr">
        <is>
          <t>Medium</t>
        </is>
      </c>
    </row>
    <row r="9">
      <c r="A9" s="4" t="inlineStr">
        <is>
          <t>HS-055</t>
        </is>
      </c>
      <c r="B9" s="4" t="inlineStr">
        <is>
          <t>HeadyLegacy Digital Ancestors</t>
        </is>
      </c>
      <c r="C9" s="4" t="inlineStr">
        <is>
          <t>Memory Systems</t>
        </is>
      </c>
      <c r="D9" s="4" t="inlineStr">
        <is>
          <t>Filed</t>
        </is>
      </c>
      <c r="E9" s="4" t="inlineStr">
        <is>
          <t>—</t>
        </is>
      </c>
      <c r="F9" s="4" t="inlineStr">
        <is>
          <t>2026-02</t>
        </is>
      </c>
      <c r="G9" s="4" t="inlineStr">
        <is>
          <t>NO</t>
        </is>
      </c>
      <c r="H9" s="4" t="inlineStr">
        <is>
          <t>Medium</t>
        </is>
      </c>
    </row>
    <row r="10">
      <c r="A10" s="2" t="inlineStr">
        <is>
          <t>HS-056</t>
        </is>
      </c>
      <c r="B10" s="2" t="inlineStr">
        <is>
          <t>HITL Crypto Signatures</t>
        </is>
      </c>
      <c r="C10" s="2" t="inlineStr">
        <is>
          <t>Security/PQC</t>
        </is>
      </c>
      <c r="D10" s="2" t="inlineStr">
        <is>
          <t>Filed</t>
        </is>
      </c>
      <c r="E10" s="2" t="inlineStr">
        <is>
          <t>—</t>
        </is>
      </c>
      <c r="F10" s="2" t="inlineStr">
        <is>
          <t>2026-03</t>
        </is>
      </c>
      <c r="G10" s="2" t="inlineStr">
        <is>
          <t>NO</t>
        </is>
      </c>
      <c r="H10" s="2" t="inlineStr">
        <is>
          <t>High</t>
        </is>
      </c>
    </row>
    <row r="11">
      <c r="A11" s="4" t="inlineStr">
        <is>
          <t>HS-057</t>
        </is>
      </c>
      <c r="B11" s="4" t="inlineStr">
        <is>
          <t>MIDI-AI Control Protocol</t>
        </is>
      </c>
      <c r="C11" s="4" t="inlineStr">
        <is>
          <t>Edge Inference</t>
        </is>
      </c>
      <c r="D11" s="4" t="inlineStr">
        <is>
          <t>Filed</t>
        </is>
      </c>
      <c r="E11" s="4" t="inlineStr">
        <is>
          <t>packages/heady-studio/</t>
        </is>
      </c>
      <c r="F11" s="4" t="inlineStr">
        <is>
          <t>2026-03</t>
        </is>
      </c>
      <c r="G11" s="4" t="inlineStr">
        <is>
          <t>NO</t>
        </is>
      </c>
      <c r="H11" s="4" t="inlineStr">
        <is>
          <t>Medium</t>
        </is>
      </c>
    </row>
    <row r="12">
      <c r="A12" s="2" t="inlineStr">
        <is>
          <t>HS-058</t>
        </is>
      </c>
      <c r="B12" s="2" t="inlineStr">
        <is>
          <t>CSL Resonance Gate</t>
        </is>
      </c>
      <c r="C12" s="2" t="inlineStr">
        <is>
          <t>AI Orchestration</t>
        </is>
      </c>
      <c r="D12" s="2" t="inlineStr">
        <is>
          <t>Filed</t>
        </is>
      </c>
      <c r="E12" s="2" t="inlineStr">
        <is>
          <t>packages/csl-engine/</t>
        </is>
      </c>
      <c r="F12" s="2" t="inlineStr">
        <is>
          <t>2026-03</t>
        </is>
      </c>
      <c r="G12" s="2" t="inlineStr">
        <is>
          <t>NO</t>
        </is>
      </c>
      <c r="H12" s="2" t="inlineStr">
        <is>
          <t>Critical</t>
        </is>
      </c>
    </row>
    <row r="13">
      <c r="A13" s="4" t="inlineStr">
        <is>
          <t>HS-059</t>
        </is>
      </c>
      <c r="B13" s="4" t="inlineStr">
        <is>
          <t>Swarm Stigmergic Coordination</t>
        </is>
      </c>
      <c r="C13" s="4" t="inlineStr">
        <is>
          <t>Swarm Intelligence</t>
        </is>
      </c>
      <c r="D13" s="4" t="inlineStr">
        <is>
          <t>Filed</t>
        </is>
      </c>
      <c r="E13" s="4" t="inlineStr">
        <is>
          <t>packages/heady-bee/</t>
        </is>
      </c>
      <c r="F13" s="4" t="inlineStr">
        <is>
          <t>2026-03</t>
        </is>
      </c>
      <c r="G13" s="4" t="inlineStr">
        <is>
          <t>NO</t>
        </is>
      </c>
      <c r="H13" s="4" t="inlineStr">
        <is>
          <t>High</t>
        </is>
      </c>
    </row>
    <row r="14">
      <c r="A14" s="2" t="inlineStr">
        <is>
          <t>HS-060</t>
        </is>
      </c>
      <c r="B14" s="2" t="inlineStr">
        <is>
          <t>φ-Scaled Canary Deploy</t>
        </is>
      </c>
      <c r="C14" s="2" t="inlineStr">
        <is>
          <t>AI Orchestration</t>
        </is>
      </c>
      <c r="D14" s="2" t="inlineStr">
        <is>
          <t>Filed</t>
        </is>
      </c>
      <c r="E14" s="2" t="inlineStr">
        <is>
          <t>services/heady-cron/</t>
        </is>
      </c>
      <c r="F14" s="2" t="inlineStr">
        <is>
          <t>2026-03</t>
        </is>
      </c>
      <c r="G14" s="2" t="inlineStr">
        <is>
          <t>NO</t>
        </is>
      </c>
      <c r="H14" s="2" t="inlineStr">
        <is>
          <t>High</t>
        </is>
      </c>
    </row>
    <row r="15">
      <c r="A15" s="4" t="inlineStr">
        <is>
          <t>HS-061</t>
        </is>
      </c>
      <c r="B15" s="4" t="inlineStr">
        <is>
          <t>Cross-Device Context Transfer</t>
        </is>
      </c>
      <c r="C15" s="4" t="inlineStr">
        <is>
          <t>Memory Systems</t>
        </is>
      </c>
      <c r="D15" s="4" t="inlineStr">
        <is>
          <t>Filed</t>
        </is>
      </c>
      <c r="E15" s="4" t="inlineStr">
        <is>
          <t>src/runtime/cross-device-sync.js</t>
        </is>
      </c>
      <c r="F15" s="4" t="inlineStr">
        <is>
          <t>2026-03</t>
        </is>
      </c>
      <c r="G15" s="4" t="inlineStr">
        <is>
          <t>NO</t>
        </is>
      </c>
      <c r="H15" s="4" t="inlineStr">
        <is>
          <t>High</t>
        </is>
      </c>
    </row>
    <row r="16">
      <c r="A16" s="2" t="inlineStr">
        <is>
          <t>HS-062</t>
        </is>
      </c>
      <c r="B16" s="2" t="inlineStr">
        <is>
          <t>PQC Key Exchange for AI</t>
        </is>
      </c>
      <c r="C16" s="2" t="inlineStr">
        <is>
          <t>Security/PQC</t>
        </is>
      </c>
      <c r="D16" s="2" t="inlineStr">
        <is>
          <t>Filed</t>
        </is>
      </c>
      <c r="E16" s="2" t="inlineStr">
        <is>
          <t>packages/heady-guard/</t>
        </is>
      </c>
      <c r="F16" s="2" t="inlineStr">
        <is>
          <t>2026-03</t>
        </is>
      </c>
      <c r="G16" s="2" t="inlineStr">
        <is>
          <t>NO</t>
        </is>
      </c>
      <c r="H16" s="2" t="inlineStr">
        <is>
          <t>Critical</t>
        </is>
      </c>
    </row>
    <row r="18">
      <c r="A18" s="6" t="inlineStr">
        <is>
          <t>Total Patents Filed</t>
        </is>
      </c>
      <c r="B18" s="9" t="inlineStr">
        <is>
          <t>62</t>
        </is>
      </c>
    </row>
    <row r="19">
      <c r="A19" s="6" t="inlineStr">
        <is>
          <t>Lock Zones</t>
        </is>
      </c>
      <c r="B19" s="10">
        <f>COUNTIF(G2:G16,"YES")</f>
        <v/>
      </c>
    </row>
    <row r="20">
      <c r="A20" s="6" t="inlineStr">
        <is>
          <t>With RTP Code</t>
        </is>
      </c>
      <c r="B20" s="11">
        <f>COUNTIF(E2:E16,"&lt;&gt;—")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2" customWidth="1" min="4" max="4"/>
    <col width="30" customWidth="1" min="5" max="5"/>
    <col width="14" customWidth="1" min="6" max="6"/>
    <col width="12" customWidth="1" min="7" max="7"/>
    <col width="14" customWidth="1" min="8" max="8"/>
    <col width="10" customWidth="1" min="9" max="9"/>
  </cols>
  <sheetData>
    <row r="1">
      <c r="A1" s="1" t="inlineStr">
        <is>
          <t>Domain</t>
        </is>
      </c>
      <c r="B1" s="1" t="inlineStr">
        <is>
          <t>Purpose</t>
        </is>
      </c>
      <c r="C1" s="1" t="inlineStr">
        <is>
          <t>Infrastructure</t>
        </is>
      </c>
      <c r="D1" s="1" t="inlineStr">
        <is>
          <t>Auth Tier</t>
        </is>
      </c>
      <c r="E1" s="1" t="inlineStr">
        <is>
          <t>Content Types</t>
        </is>
      </c>
      <c r="F1" s="1" t="inlineStr">
        <is>
          <t>HeadyBuddy</t>
        </is>
      </c>
      <c r="G1" s="1" t="inlineStr">
        <is>
          <t>Sacred Geo</t>
        </is>
      </c>
      <c r="H1" s="1" t="inlineStr">
        <is>
          <t>Cross-Device</t>
        </is>
      </c>
      <c r="I1" s="1" t="inlineStr">
        <is>
          <t>Status</t>
        </is>
      </c>
    </row>
    <row r="2">
      <c r="A2" s="2" t="inlineStr">
        <is>
          <t>headysystems.com</t>
        </is>
      </c>
      <c r="B2" s="2" t="inlineStr">
        <is>
          <t>Corporate API hub</t>
        </is>
      </c>
      <c r="C2" s="2" t="inlineStr">
        <is>
          <t>Cloudflare Zone</t>
        </is>
      </c>
      <c r="D2" s="2" t="inlineStr">
        <is>
          <t>Internal</t>
        </is>
      </c>
      <c r="E2" s="2" t="inlineStr">
        <is>
          <t>page, article, case_study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Live</t>
        </is>
      </c>
    </row>
    <row r="3">
      <c r="A3" s="4" t="inlineStr">
        <is>
          <t>headyme.com</t>
        </is>
      </c>
      <c r="B3" s="4" t="inlineStr">
        <is>
          <t>Personal AI dashboard</t>
        </is>
      </c>
      <c r="C3" s="4" t="inlineStr">
        <is>
          <t>Cloudflare Zone</t>
        </is>
      </c>
      <c r="D3" s="4" t="inlineStr">
        <is>
          <t>Internal</t>
        </is>
      </c>
      <c r="E3" s="4" t="inlineStr">
        <is>
          <t>page, profile</t>
        </is>
      </c>
      <c r="F3" s="4" t="inlineStr">
        <is>
          <t>YES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Live</t>
        </is>
      </c>
    </row>
    <row r="4">
      <c r="A4" s="2" t="inlineStr">
        <is>
          <t>headybuddy.com</t>
        </is>
      </c>
      <c r="B4" s="2" t="inlineStr">
        <is>
          <t>AI companion portal</t>
        </is>
      </c>
      <c r="C4" s="2" t="inlineStr">
        <is>
          <t>CF Worker</t>
        </is>
      </c>
      <c r="D4" s="2" t="inlineStr">
        <is>
          <t>Public</t>
        </is>
      </c>
      <c r="E4" s="2" t="inlineStr">
        <is>
          <t>page, documentation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Live</t>
        </is>
      </c>
    </row>
    <row r="5">
      <c r="A5" s="4" t="inlineStr">
        <is>
          <t>headymcp.com</t>
        </is>
      </c>
      <c r="B5" s="4" t="inlineStr">
        <is>
          <t>MCP developer platform</t>
        </is>
      </c>
      <c r="C5" s="4" t="inlineStr">
        <is>
          <t>CF Worker</t>
        </is>
      </c>
      <c r="D5" s="4" t="inlineStr">
        <is>
          <t>Pilot</t>
        </is>
      </c>
      <c r="E5" s="4" t="inlineStr">
        <is>
          <t>page, documentation, api_ref</t>
        </is>
      </c>
      <c r="F5" s="4" t="inlineStr">
        <is>
          <t>YES</t>
        </is>
      </c>
      <c r="G5" s="4" t="inlineStr">
        <is>
          <t>NO</t>
        </is>
      </c>
      <c r="H5" s="4" t="inlineStr">
        <is>
          <t>YES</t>
        </is>
      </c>
      <c r="I5" s="4" t="inlineStr">
        <is>
          <t>Live</t>
        </is>
      </c>
    </row>
    <row r="6">
      <c r="A6" s="2" t="inlineStr">
        <is>
          <t>headyio.com</t>
        </is>
      </c>
      <c r="B6" s="2" t="inlineStr">
        <is>
          <t>Integration hub</t>
        </is>
      </c>
      <c r="C6" s="2" t="inlineStr">
        <is>
          <t>CF Worker</t>
        </is>
      </c>
      <c r="D6" s="2" t="inlineStr">
        <is>
          <t>Pilot</t>
        </is>
      </c>
      <c r="E6" s="2" t="inlineStr">
        <is>
          <t>page, article</t>
        </is>
      </c>
      <c r="F6" s="2" t="inlineStr">
        <is>
          <t>YES</t>
        </is>
      </c>
      <c r="G6" s="2" t="inlineStr">
        <is>
          <t>NO</t>
        </is>
      </c>
      <c r="H6" s="2" t="inlineStr">
        <is>
          <t>YES</t>
        </is>
      </c>
      <c r="I6" s="2" t="inlineStr">
        <is>
          <t>Live</t>
        </is>
      </c>
    </row>
    <row r="7">
      <c r="A7" s="4" t="inlineStr">
        <is>
          <t>headybot.com</t>
        </is>
      </c>
      <c r="B7" s="4" t="inlineStr">
        <is>
          <t>Agent marketplace</t>
        </is>
      </c>
      <c r="C7" s="4" t="inlineStr">
        <is>
          <t>CF Worker</t>
        </is>
      </c>
      <c r="D7" s="4" t="inlineStr">
        <is>
          <t>Public</t>
        </is>
      </c>
      <c r="E7" s="4" t="inlineStr">
        <is>
          <t>page, agent_listing</t>
        </is>
      </c>
      <c r="F7" s="4" t="inlineStr">
        <is>
          <t>YES</t>
        </is>
      </c>
      <c r="G7" s="4" t="inlineStr">
        <is>
          <t>NO</t>
        </is>
      </c>
      <c r="H7" s="4" t="inlineStr">
        <is>
          <t>NO</t>
        </is>
      </c>
      <c r="I7" s="4" t="inlineStr">
        <is>
          <t>Live</t>
        </is>
      </c>
    </row>
    <row r="8">
      <c r="A8" s="2" t="inlineStr">
        <is>
          <t>headyapi.com</t>
        </is>
      </c>
      <c r="B8" s="2" t="inlineStr">
        <is>
          <t>API documentation</t>
        </is>
      </c>
      <c r="C8" s="2" t="inlineStr">
        <is>
          <t>CF Worker</t>
        </is>
      </c>
      <c r="D8" s="2" t="inlineStr">
        <is>
          <t>Pilot</t>
        </is>
      </c>
      <c r="E8" s="2" t="inlineStr">
        <is>
          <t>page, documentation, api_ref</t>
        </is>
      </c>
      <c r="F8" s="2" t="inlineStr">
        <is>
          <t>YES</t>
        </is>
      </c>
      <c r="G8" s="2" t="inlineStr">
        <is>
          <t>NO</t>
        </is>
      </c>
      <c r="H8" s="2" t="inlineStr">
        <is>
          <t>YES</t>
        </is>
      </c>
      <c r="I8" s="2" t="inlineStr">
        <is>
          <t>Live</t>
        </is>
      </c>
    </row>
    <row r="9">
      <c r="A9" s="4" t="inlineStr">
        <is>
          <t>headylens.com</t>
        </is>
      </c>
      <c r="B9" s="4" t="inlineStr">
        <is>
          <t>Visual AI / spatial</t>
        </is>
      </c>
      <c r="C9" s="4" t="inlineStr">
        <is>
          <t>CF Worker</t>
        </is>
      </c>
      <c r="D9" s="4" t="inlineStr">
        <is>
          <t>Public</t>
        </is>
      </c>
      <c r="E9" s="4" t="inlineStr">
        <is>
          <t>page, article</t>
        </is>
      </c>
      <c r="F9" s="4" t="inlineStr">
        <is>
          <t>YES</t>
        </is>
      </c>
      <c r="G9" s="4" t="inlineStr">
        <is>
          <t>YES</t>
        </is>
      </c>
      <c r="H9" s="4" t="inlineStr">
        <is>
          <t>NO</t>
        </is>
      </c>
      <c r="I9" s="4" t="inlineStr">
        <is>
          <t>Live</t>
        </is>
      </c>
    </row>
    <row r="10">
      <c r="A10" s="2" t="inlineStr">
        <is>
          <t>headyai.com</t>
        </is>
      </c>
      <c r="B10" s="2" t="inlineStr">
        <is>
          <t>AI research portal</t>
        </is>
      </c>
      <c r="C10" s="2" t="inlineStr">
        <is>
          <t>CF Worker</t>
        </is>
      </c>
      <c r="D10" s="2" t="inlineStr">
        <is>
          <t>Public</t>
        </is>
      </c>
      <c r="E10" s="2" t="inlineStr">
        <is>
          <t>page, research_paper, benchmark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Live</t>
        </is>
      </c>
    </row>
    <row r="11">
      <c r="A11" s="4" t="inlineStr">
        <is>
          <t>headyfinance.com</t>
        </is>
      </c>
      <c r="B11" s="4" t="inlineStr">
        <is>
          <t>Financial services</t>
        </is>
      </c>
      <c r="C11" s="4" t="inlineStr">
        <is>
          <t>CF Worker</t>
        </is>
      </c>
      <c r="D11" s="4" t="inlineStr">
        <is>
          <t>Enterprise</t>
        </is>
      </c>
      <c r="E11" s="4" t="inlineStr">
        <is>
          <t>page, article, tool</t>
        </is>
      </c>
      <c r="F11" s="4" t="inlineStr">
        <is>
          <t>YES</t>
        </is>
      </c>
      <c r="G11" s="4" t="inlineStr">
        <is>
          <t>NO</t>
        </is>
      </c>
      <c r="H11" s="4" t="inlineStr">
        <is>
          <t>NO</t>
        </is>
      </c>
      <c r="I11" s="4" t="inlineStr">
        <is>
          <t>Live</t>
        </is>
      </c>
    </row>
    <row r="12">
      <c r="A12" s="2" t="inlineStr">
        <is>
          <t>headyconnection.org</t>
        </is>
      </c>
      <c r="B12" s="2" t="inlineStr">
        <is>
          <t>Non-profit arm</t>
        </is>
      </c>
      <c r="C12" s="2" t="inlineStr">
        <is>
          <t>Cloudflare Zone</t>
        </is>
      </c>
      <c r="D12" s="2" t="inlineStr">
        <is>
          <t>Public</t>
        </is>
      </c>
      <c r="E12" s="2" t="inlineStr">
        <is>
          <t>page, program, event</t>
        </is>
      </c>
      <c r="F12" s="2" t="inlineStr">
        <is>
          <t>YES</t>
        </is>
      </c>
      <c r="G12" s="2" t="inlineStr">
        <is>
          <t>YES</t>
        </is>
      </c>
      <c r="H12" s="2" t="inlineStr">
        <is>
          <t>NO</t>
        </is>
      </c>
      <c r="I12" s="2" t="inlineStr">
        <is>
          <t>Live</t>
        </is>
      </c>
    </row>
    <row r="13">
      <c r="A13" s="4" t="inlineStr">
        <is>
          <t>1ime1.com</t>
        </is>
      </c>
      <c r="B13" s="4" t="inlineStr">
        <is>
          <t>Admin control surface</t>
        </is>
      </c>
      <c r="C13" s="4" t="inlineStr">
        <is>
          <t>Cloudflare Pages</t>
        </is>
      </c>
      <c r="D13" s="4" t="inlineStr">
        <is>
          <t>Internal</t>
        </is>
      </c>
      <c r="E13" s="4" t="inlineStr">
        <is>
          <t>admin</t>
        </is>
      </c>
      <c r="F13" s="4" t="inlineStr">
        <is>
          <t>YES</t>
        </is>
      </c>
      <c r="G13" s="4" t="inlineStr">
        <is>
          <t>YES</t>
        </is>
      </c>
      <c r="H13" s="4" t="inlineStr">
        <is>
          <t>YES</t>
        </is>
      </c>
      <c r="I13" s="4" t="inlineStr">
        <is>
          <t>Live</t>
        </is>
      </c>
    </row>
    <row r="15">
      <c r="A15" s="6" t="inlineStr">
        <is>
          <t>Total Domains</t>
        </is>
      </c>
      <c r="B15" s="12" t="n">
        <v>12</v>
      </c>
    </row>
    <row r="16">
      <c r="A16" s="6" t="inlineStr">
        <is>
          <t>With HeadyBuddy</t>
        </is>
      </c>
      <c r="B16" s="11">
        <f>COUNTIF(F2:F13,"YES")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82F6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22" customWidth="1" min="4" max="4"/>
    <col width="10" customWidth="1" min="5" max="5"/>
    <col width="14" customWidth="1" min="6" max="6"/>
    <col width="16" customWidth="1" min="7" max="7"/>
    <col width="12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Site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Assigned Node</t>
        </is>
      </c>
      <c r="H1" s="1" t="inlineStr">
        <is>
          <t>CSL Score</t>
        </is>
      </c>
      <c r="I1" s="1" t="inlineStr">
        <is>
          <t>Created</t>
        </is>
      </c>
    </row>
    <row r="2">
      <c r="A2" s="2" t="inlineStr">
        <is>
          <t>T-001</t>
        </is>
      </c>
      <c r="B2" s="2" t="inlineStr">
        <is>
          <t>Deploy v5.0 homepage</t>
        </is>
      </c>
      <c r="C2" s="2" t="inlineStr">
        <is>
          <t>Deploy</t>
        </is>
      </c>
      <c r="D2" s="2" t="inlineStr">
        <is>
          <t>headysystems.com</t>
        </is>
      </c>
      <c r="E2" s="2" t="inlineStr">
        <is>
          <t>High</t>
        </is>
      </c>
      <c r="F2" s="2" t="inlineStr">
        <is>
          <t>Backlog</t>
        </is>
      </c>
      <c r="G2" s="2" t="inlineStr">
        <is>
          <t>CONDUCTOR</t>
        </is>
      </c>
      <c r="H2" s="13" t="n">
        <v>0.847</v>
      </c>
      <c r="I2" s="2" t="inlineStr">
        <is>
          <t>2026-03-15</t>
        </is>
      </c>
    </row>
    <row r="3">
      <c r="A3" s="4" t="inlineStr">
        <is>
          <t>T-002</t>
        </is>
      </c>
      <c r="B3" s="4" t="inlineStr">
        <is>
          <t>Write MCP SDK docs</t>
        </is>
      </c>
      <c r="C3" s="4" t="inlineStr">
        <is>
          <t>Content</t>
        </is>
      </c>
      <c r="D3" s="4" t="inlineStr">
        <is>
          <t>headymcp.com</t>
        </is>
      </c>
      <c r="E3" s="4" t="inlineStr">
        <is>
          <t>High</t>
        </is>
      </c>
      <c r="F3" s="4" t="inlineStr">
        <is>
          <t>In Progress</t>
        </is>
      </c>
      <c r="G3" s="4" t="inlineStr">
        <is>
          <t>ATLAS</t>
        </is>
      </c>
      <c r="H3" s="14" t="n">
        <v>0.782</v>
      </c>
      <c r="I3" s="4" t="inlineStr">
        <is>
          <t>2026-03-14</t>
        </is>
      </c>
    </row>
    <row r="4">
      <c r="A4" s="2" t="inlineStr">
        <is>
          <t>T-003</t>
        </is>
      </c>
      <c r="B4" s="2" t="inlineStr">
        <is>
          <t>Fix OAuth callback</t>
        </is>
      </c>
      <c r="C4" s="2" t="inlineStr">
        <is>
          <t>Bug</t>
        </is>
      </c>
      <c r="D4" s="2" t="inlineStr">
        <is>
          <t>headyai.com</t>
        </is>
      </c>
      <c r="E4" s="2" t="inlineStr">
        <is>
          <t>High</t>
        </is>
      </c>
      <c r="F4" s="2" t="inlineStr">
        <is>
          <t>In Progress</t>
        </is>
      </c>
      <c r="G4" s="2" t="inlineStr">
        <is>
          <t>SENTINEL</t>
        </is>
      </c>
      <c r="H4" s="13" t="n">
        <v>0.891</v>
      </c>
      <c r="I4" s="2" t="inlineStr">
        <is>
          <t>2026-03-14</t>
        </is>
      </c>
    </row>
    <row r="5">
      <c r="A5" s="4" t="inlineStr">
        <is>
          <t>T-004</t>
        </is>
      </c>
      <c r="B5" s="4" t="inlineStr">
        <is>
          <t>Sacred geometry bg</t>
        </is>
      </c>
      <c r="C5" s="4" t="inlineStr">
        <is>
          <t>Feature</t>
        </is>
      </c>
      <c r="D5" s="4" t="inlineStr">
        <is>
          <t>headylens.com</t>
        </is>
      </c>
      <c r="E5" s="4" t="inlineStr">
        <is>
          <t>Medium</t>
        </is>
      </c>
      <c r="F5" s="4" t="inlineStr">
        <is>
          <t>Backlog</t>
        </is>
      </c>
      <c r="G5" s="4" t="inlineStr">
        <is>
          <t>FORGE</t>
        </is>
      </c>
      <c r="H5" s="14" t="n">
        <v>0.654</v>
      </c>
      <c r="I5" s="4" t="inlineStr">
        <is>
          <t>2026-03-15</t>
        </is>
      </c>
    </row>
    <row r="6">
      <c r="A6" s="2" t="inlineStr">
        <is>
          <t>T-005</t>
        </is>
      </c>
      <c r="B6" s="2" t="inlineStr">
        <is>
          <t>SEO audit</t>
        </is>
      </c>
      <c r="C6" s="2" t="inlineStr">
        <is>
          <t>SEO</t>
        </is>
      </c>
      <c r="D6" s="2" t="inlineStr">
        <is>
          <t>headyfinance.com</t>
        </is>
      </c>
      <c r="E6" s="2" t="inlineStr">
        <is>
          <t>Medium</t>
        </is>
      </c>
      <c r="F6" s="2" t="inlineStr">
        <is>
          <t>Backlog</t>
        </is>
      </c>
      <c r="G6" s="2" t="inlineStr">
        <is>
          <t>OBSERVER</t>
        </is>
      </c>
      <c r="H6" s="13" t="n">
        <v>0.618</v>
      </c>
      <c r="I6" s="2" t="inlineStr">
        <is>
          <t>2026-03-15</t>
        </is>
      </c>
    </row>
    <row r="7">
      <c r="A7" s="4" t="inlineStr">
        <is>
          <t>T-006</t>
        </is>
      </c>
      <c r="B7" s="4" t="inlineStr">
        <is>
          <t>Q1 impact report</t>
        </is>
      </c>
      <c r="C7" s="4" t="inlineStr">
        <is>
          <t>Content</t>
        </is>
      </c>
      <c r="D7" s="4" t="inlineStr">
        <is>
          <t>headyconnection.org</t>
        </is>
      </c>
      <c r="E7" s="4" t="inlineStr">
        <is>
          <t>Medium</t>
        </is>
      </c>
      <c r="F7" s="4" t="inlineStr">
        <is>
          <t>Review</t>
        </is>
      </c>
      <c r="G7" s="4" t="inlineStr">
        <is>
          <t>ATLAS</t>
        </is>
      </c>
      <c r="H7" s="14" t="n">
        <v>0.723</v>
      </c>
      <c r="I7" s="4" t="inlineStr">
        <is>
          <t>2026-03-13</t>
        </is>
      </c>
    </row>
    <row r="8">
      <c r="A8" s="2" t="inlineStr">
        <is>
          <t>T-007</t>
        </is>
      </c>
      <c r="B8" s="2" t="inlineStr">
        <is>
          <t>API rate limit tuning</t>
        </is>
      </c>
      <c r="C8" s="2" t="inlineStr">
        <is>
          <t>Feature</t>
        </is>
      </c>
      <c r="D8" s="2" t="inlineStr">
        <is>
          <t>headyapi.com</t>
        </is>
      </c>
      <c r="E8" s="2" t="inlineStr">
        <is>
          <t>High</t>
        </is>
      </c>
      <c r="F8" s="2" t="inlineStr">
        <is>
          <t>In Progress</t>
        </is>
      </c>
      <c r="G8" s="2" t="inlineStr">
        <is>
          <t>DIPLOMAT</t>
        </is>
      </c>
      <c r="H8" s="13" t="n">
        <v>0.8120000000000001</v>
      </c>
      <c r="I8" s="2" t="inlineStr">
        <is>
          <t>2026-03-14</t>
        </is>
      </c>
    </row>
    <row r="9">
      <c r="A9" s="4" t="inlineStr">
        <is>
          <t>T-008</t>
        </is>
      </c>
      <c r="B9" s="4" t="inlineStr">
        <is>
          <t>Bot listing approval</t>
        </is>
      </c>
      <c r="C9" s="4" t="inlineStr">
        <is>
          <t>Feature</t>
        </is>
      </c>
      <c r="D9" s="4" t="inlineStr">
        <is>
          <t>headybot.com</t>
        </is>
      </c>
      <c r="E9" s="4" t="inlineStr">
        <is>
          <t>Low</t>
        </is>
      </c>
      <c r="F9" s="4" t="inlineStr">
        <is>
          <t>Backlog</t>
        </is>
      </c>
      <c r="G9" s="4" t="inlineStr">
        <is>
          <t>FORGE</t>
        </is>
      </c>
      <c r="H9" s="14" t="n">
        <v>0.456</v>
      </c>
      <c r="I9" s="4" t="inlineStr">
        <is>
          <t>2026-03-16</t>
        </is>
      </c>
    </row>
    <row r="10">
      <c r="A10" s="2" t="inlineStr">
        <is>
          <t>T-009</t>
        </is>
      </c>
      <c r="B10" s="2" t="inlineStr">
        <is>
          <t>Cross-device regression</t>
        </is>
      </c>
      <c r="C10" s="2" t="inlineStr">
        <is>
          <t>Bug</t>
        </is>
      </c>
      <c r="D10" s="2" t="inlineStr">
        <is>
          <t>headyme.com</t>
        </is>
      </c>
      <c r="E10" s="2" t="inlineStr">
        <is>
          <t>High</t>
        </is>
      </c>
      <c r="F10" s="2" t="inlineStr">
        <is>
          <t>In Progress</t>
        </is>
      </c>
      <c r="G10" s="2" t="inlineStr">
        <is>
          <t>JULES</t>
        </is>
      </c>
      <c r="H10" s="13" t="n">
        <v>0.9340000000000001</v>
      </c>
      <c r="I10" s="2" t="inlineStr">
        <is>
          <t>2026-03-13</t>
        </is>
      </c>
    </row>
    <row r="11">
      <c r="A11" s="4" t="inlineStr">
        <is>
          <t>T-010</t>
        </is>
      </c>
      <c r="B11" s="4" t="inlineStr">
        <is>
          <t>Trading compliance page</t>
        </is>
      </c>
      <c r="C11" s="4" t="inlineStr">
        <is>
          <t>Content</t>
        </is>
      </c>
      <c r="D11" s="4" t="inlineStr">
        <is>
          <t>headyfinance.com</t>
        </is>
      </c>
      <c r="E11" s="4" t="inlineStr">
        <is>
          <t>Medium</t>
        </is>
      </c>
      <c r="F11" s="4" t="inlineStr">
        <is>
          <t>Review</t>
        </is>
      </c>
      <c r="G11" s="4" t="inlineStr">
        <is>
          <t>ATLAS</t>
        </is>
      </c>
      <c r="H11" s="14" t="n">
        <v>0.701</v>
      </c>
      <c r="I11" s="4" t="inlineStr">
        <is>
          <t>2026-03-12</t>
        </is>
      </c>
    </row>
    <row r="12">
      <c r="A12" s="2" t="inlineStr">
        <is>
          <t>T-011</t>
        </is>
      </c>
      <c r="B12" s="2" t="inlineStr">
        <is>
          <t>Patent portfolio page</t>
        </is>
      </c>
      <c r="C12" s="2" t="inlineStr">
        <is>
          <t>Content</t>
        </is>
      </c>
      <c r="D12" s="2" t="inlineStr">
        <is>
          <t>headysystems.com</t>
        </is>
      </c>
      <c r="E12" s="2" t="inlineStr">
        <is>
          <t>Low</t>
        </is>
      </c>
      <c r="F12" s="2" t="inlineStr">
        <is>
          <t>Done</t>
        </is>
      </c>
      <c r="G12" s="2" t="inlineStr">
        <is>
          <t>ARBITER</t>
        </is>
      </c>
      <c r="H12" s="13" t="n">
        <v>0.678</v>
      </c>
      <c r="I12" s="2" t="inlineStr">
        <is>
          <t>2026-03-10</t>
        </is>
      </c>
    </row>
    <row r="13">
      <c r="A13" s="4" t="inlineStr">
        <is>
          <t>T-012</t>
        </is>
      </c>
      <c r="B13" s="4" t="inlineStr">
        <is>
          <t>HeadyBuddy PWA shell</t>
        </is>
      </c>
      <c r="C13" s="4" t="inlineStr">
        <is>
          <t>Feature</t>
        </is>
      </c>
      <c r="D13" s="4" t="inlineStr">
        <is>
          <t>headybuddy.com</t>
        </is>
      </c>
      <c r="E13" s="4" t="inlineStr">
        <is>
          <t>High</t>
        </is>
      </c>
      <c r="F13" s="4" t="inlineStr">
        <is>
          <t>In Progress</t>
        </is>
      </c>
      <c r="G13" s="4" t="inlineStr">
        <is>
          <t>BUILDER</t>
        </is>
      </c>
      <c r="H13" s="14" t="n">
        <v>0.856</v>
      </c>
      <c r="I13" s="4" t="inlineStr">
        <is>
          <t>2026-03-12</t>
        </is>
      </c>
    </row>
    <row r="14">
      <c r="A14" s="2" t="inlineStr">
        <is>
          <t>T-013</t>
        </is>
      </c>
      <c r="B14" s="2" t="inlineStr">
        <is>
          <t>Admin UI (1ime1.com)</t>
        </is>
      </c>
      <c r="C14" s="2" t="inlineStr">
        <is>
          <t>Feature</t>
        </is>
      </c>
      <c r="D14" s="2" t="inlineStr">
        <is>
          <t>1ime1.com</t>
        </is>
      </c>
      <c r="E14" s="2" t="inlineStr">
        <is>
          <t>High</t>
        </is>
      </c>
      <c r="F14" s="2" t="inlineStr">
        <is>
          <t>Done</t>
        </is>
      </c>
      <c r="G14" s="2" t="inlineStr">
        <is>
          <t>CONDUCTOR</t>
        </is>
      </c>
      <c r="H14" s="13" t="n">
        <v>0.918</v>
      </c>
      <c r="I14" s="2" t="inlineStr">
        <is>
          <t>2026-03-11</t>
        </is>
      </c>
    </row>
    <row r="15">
      <c r="A15" s="4" t="inlineStr">
        <is>
          <t>T-014</t>
        </is>
      </c>
      <c r="B15" s="4" t="inlineStr">
        <is>
          <t>Swarm monitor dashboard</t>
        </is>
      </c>
      <c r="C15" s="4" t="inlineStr">
        <is>
          <t>Feature</t>
        </is>
      </c>
      <c r="D15" s="4" t="inlineStr">
        <is>
          <t>headylens.com</t>
        </is>
      </c>
      <c r="E15" s="4" t="inlineStr">
        <is>
          <t>High</t>
        </is>
      </c>
      <c r="F15" s="4" t="inlineStr">
        <is>
          <t>Done</t>
        </is>
      </c>
      <c r="G15" s="4" t="inlineStr">
        <is>
          <t>OBSERVER</t>
        </is>
      </c>
      <c r="H15" s="14" t="n">
        <v>0.887</v>
      </c>
      <c r="I15" s="4" t="inlineStr">
        <is>
          <t>2026-03-14</t>
        </is>
      </c>
    </row>
    <row r="16">
      <c r="A16" s="2" t="inlineStr">
        <is>
          <t>T-015</t>
        </is>
      </c>
      <c r="B16" s="2" t="inlineStr">
        <is>
          <t>Investor pitch deck</t>
        </is>
      </c>
      <c r="C16" s="2" t="inlineStr">
        <is>
          <t>Content</t>
        </is>
      </c>
      <c r="D16" s="2" t="inlineStr">
        <is>
          <t>headysystems.com</t>
        </is>
      </c>
      <c r="E16" s="2" t="inlineStr">
        <is>
          <t>High</t>
        </is>
      </c>
      <c r="F16" s="2" t="inlineStr">
        <is>
          <t>Done</t>
        </is>
      </c>
      <c r="G16" s="2" t="inlineStr">
        <is>
          <t>DIPLOMAT</t>
        </is>
      </c>
      <c r="H16" s="13" t="n">
        <v>0.9429999999999999</v>
      </c>
      <c r="I16" s="2" t="inlineStr">
        <is>
          <t>2026-03-17</t>
        </is>
      </c>
    </row>
    <row r="17">
      <c r="A17" s="4" t="inlineStr">
        <is>
          <t>T-016</t>
        </is>
      </c>
      <c r="B17" s="4" t="inlineStr">
        <is>
          <t>Full site package</t>
        </is>
      </c>
      <c r="C17" s="4" t="inlineStr">
        <is>
          <t>Deploy</t>
        </is>
      </c>
      <c r="D17" s="4" t="inlineStr">
        <is>
          <t>all domains</t>
        </is>
      </c>
      <c r="E17" s="4" t="inlineStr">
        <is>
          <t>High</t>
        </is>
      </c>
      <c r="F17" s="4" t="inlineStr">
        <is>
          <t>Done</t>
        </is>
      </c>
      <c r="G17" s="4" t="inlineStr">
        <is>
          <t>BUILDER</t>
        </is>
      </c>
      <c r="H17" s="14" t="n">
        <v>0.961</v>
      </c>
      <c r="I17" s="4" t="inlineStr">
        <is>
          <t>2026-03-17</t>
        </is>
      </c>
    </row>
    <row r="19">
      <c r="A19" s="6" t="inlineStr">
        <is>
          <t>Total Tasks</t>
        </is>
      </c>
      <c r="B19" s="15" t="n">
        <v>16</v>
      </c>
    </row>
    <row r="20">
      <c r="A20" s="6" t="inlineStr">
        <is>
          <t>Done</t>
        </is>
      </c>
      <c r="B20" s="11">
        <f>COUNTIF(F2:F17,"Done")</f>
        <v/>
      </c>
    </row>
    <row r="21">
      <c r="A21" s="6" t="inlineStr">
        <is>
          <t>Completion %</t>
        </is>
      </c>
      <c r="B21" s="16">
        <f>B20/B19</f>
        <v/>
      </c>
    </row>
    <row r="22">
      <c r="A22" s="6" t="inlineStr">
        <is>
          <t>Avg CSL Score</t>
        </is>
      </c>
      <c r="B22" s="17">
        <f>AVERAGE(H2:H17)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0C040"/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#</t>
        </is>
      </c>
      <c r="B1" s="1" t="inlineStr">
        <is>
          <t>Swarm</t>
        </is>
      </c>
      <c r="C1" s="1" t="inlineStr">
        <is>
          <t>Domain</t>
        </is>
      </c>
      <c r="D1" s="1" t="inlineStr">
        <is>
          <t>Bee Types</t>
        </is>
      </c>
      <c r="E1" s="1" t="inlineStr">
        <is>
          <t>Min Scale</t>
        </is>
      </c>
      <c r="F1" s="1" t="inlineStr">
        <is>
          <t>Max Scale</t>
        </is>
      </c>
      <c r="G1" s="1" t="inlineStr">
        <is>
          <t>Persistence</t>
        </is>
      </c>
      <c r="H1" s="1" t="inlineStr">
        <is>
          <t>Active Bees</t>
        </is>
      </c>
      <c r="I1" s="1" t="inlineStr">
        <is>
          <t>Utilization</t>
        </is>
      </c>
    </row>
    <row r="2">
      <c r="A2" s="2" t="n">
        <v>1</v>
      </c>
      <c r="B2" s="2" t="inlineStr">
        <is>
          <t>OVERMIND</t>
        </is>
      </c>
      <c r="C2" s="2" t="inlineStr">
        <is>
          <t>Decision</t>
        </is>
      </c>
      <c r="D2" s="2" t="n">
        <v>5</v>
      </c>
      <c r="E2" s="2" t="n">
        <v>5</v>
      </c>
      <c r="F2" s="2" t="n">
        <v>89</v>
      </c>
      <c r="G2" s="2" t="inlineStr">
        <is>
          <t>Persistent</t>
        </is>
      </c>
      <c r="H2" s="2" t="n">
        <v>12</v>
      </c>
      <c r="I2" s="18">
        <f>H2/F2</f>
        <v/>
      </c>
    </row>
    <row r="3">
      <c r="A3" s="4" t="n">
        <v>2</v>
      </c>
      <c r="B3" s="4" t="inlineStr">
        <is>
          <t>GOVERNANCE</t>
        </is>
      </c>
      <c r="C3" s="4" t="inlineStr">
        <is>
          <t>Security</t>
        </is>
      </c>
      <c r="D3" s="4" t="n">
        <v>5</v>
      </c>
      <c r="E3" s="4" t="n">
        <v>5</v>
      </c>
      <c r="F3" s="4" t="n">
        <v>55</v>
      </c>
      <c r="G3" s="4" t="inlineStr">
        <is>
          <t>Persistent</t>
        </is>
      </c>
      <c r="H3" s="4" t="n">
        <v>8</v>
      </c>
      <c r="I3" s="19">
        <f>H3/F3</f>
        <v/>
      </c>
    </row>
    <row r="4">
      <c r="A4" s="2" t="n">
        <v>3</v>
      </c>
      <c r="B4" s="2" t="inlineStr">
        <is>
          <t>FORGE</t>
        </is>
      </c>
      <c r="C4" s="2" t="inlineStr">
        <is>
          <t>Code Production</t>
        </is>
      </c>
      <c r="D4" s="2" t="n">
        <v>7</v>
      </c>
      <c r="E4" s="2" t="n">
        <v>5</v>
      </c>
      <c r="F4" s="2" t="n">
        <v>89</v>
      </c>
      <c r="G4" s="2" t="inlineStr">
        <is>
          <t>Ephemeral</t>
        </is>
      </c>
      <c r="H4" s="2" t="n">
        <v>23</v>
      </c>
      <c r="I4" s="18">
        <f>H4/F4</f>
        <v/>
      </c>
    </row>
    <row r="5">
      <c r="A5" s="4" t="n">
        <v>4</v>
      </c>
      <c r="B5" s="4" t="inlineStr">
        <is>
          <t>EMISSARY</t>
        </is>
      </c>
      <c r="C5" s="4" t="inlineStr">
        <is>
          <t>Docs/MCP/SDK</t>
        </is>
      </c>
      <c r="D5" s="4" t="n">
        <v>5</v>
      </c>
      <c r="E5" s="4" t="n">
        <v>3</v>
      </c>
      <c r="F5" s="4" t="n">
        <v>34</v>
      </c>
      <c r="G5" s="4" t="inlineStr">
        <is>
          <t>Mixed</t>
        </is>
      </c>
      <c r="H5" s="4" t="n">
        <v>7</v>
      </c>
      <c r="I5" s="19">
        <f>H5/F5</f>
        <v/>
      </c>
    </row>
    <row r="6">
      <c r="A6" s="2" t="n">
        <v>5</v>
      </c>
      <c r="B6" s="2" t="inlineStr">
        <is>
          <t>FOUNDRY</t>
        </is>
      </c>
      <c r="C6" s="2" t="inlineStr">
        <is>
          <t>Model Training</t>
        </is>
      </c>
      <c r="D6" s="2" t="n">
        <v>4</v>
      </c>
      <c r="E6" s="2" t="n">
        <v>1</v>
      </c>
      <c r="F6" s="2" t="n">
        <v>21</v>
      </c>
      <c r="G6" s="2" t="inlineStr">
        <is>
          <t>Ephemeral</t>
        </is>
      </c>
      <c r="H6" s="2" t="n">
        <v>3</v>
      </c>
      <c r="I6" s="18">
        <f>H6/F6</f>
        <v/>
      </c>
    </row>
    <row r="7">
      <c r="A7" s="4" t="n">
        <v>6</v>
      </c>
      <c r="B7" s="4" t="inlineStr">
        <is>
          <t>STUDIO</t>
        </is>
      </c>
      <c r="C7" s="4" t="inlineStr">
        <is>
          <t>Audio/MIDI</t>
        </is>
      </c>
      <c r="D7" s="4" t="n">
        <v>5</v>
      </c>
      <c r="E7" s="4" t="n">
        <v>1</v>
      </c>
      <c r="F7" s="4" t="n">
        <v>21</v>
      </c>
      <c r="G7" s="4" t="inlineStr">
        <is>
          <t>Ephemeral</t>
        </is>
      </c>
      <c r="H7" s="4" t="n">
        <v>2</v>
      </c>
      <c r="I7" s="19">
        <f>H7/F7</f>
        <v/>
      </c>
    </row>
    <row r="8">
      <c r="A8" s="2" t="n">
        <v>7</v>
      </c>
      <c r="B8" s="2" t="inlineStr">
        <is>
          <t>ARBITER</t>
        </is>
      </c>
      <c r="C8" s="2" t="inlineStr">
        <is>
          <t>Law &amp; IP</t>
        </is>
      </c>
      <c r="D8" s="2" t="n">
        <v>4</v>
      </c>
      <c r="E8" s="2" t="n">
        <v>2</v>
      </c>
      <c r="F8" s="2" t="n">
        <v>13</v>
      </c>
      <c r="G8" s="2" t="inlineStr">
        <is>
          <t>Persistent</t>
        </is>
      </c>
      <c r="H8" s="2" t="n">
        <v>4</v>
      </c>
      <c r="I8" s="18">
        <f>H8/F8</f>
        <v/>
      </c>
    </row>
    <row r="9">
      <c r="A9" s="4" t="n">
        <v>8</v>
      </c>
      <c r="B9" s="4" t="inlineStr">
        <is>
          <t>DIPLOMAT</t>
        </is>
      </c>
      <c r="C9" s="4" t="inlineStr">
        <is>
          <t>B2B</t>
        </is>
      </c>
      <c r="D9" s="4" t="n">
        <v>4</v>
      </c>
      <c r="E9" s="4" t="n">
        <v>2</v>
      </c>
      <c r="F9" s="4" t="n">
        <v>13</v>
      </c>
      <c r="G9" s="4" t="inlineStr">
        <is>
          <t>Mixed</t>
        </is>
      </c>
      <c r="H9" s="4" t="n">
        <v>3</v>
      </c>
      <c r="I9" s="19">
        <f>H9/F9</f>
        <v/>
      </c>
    </row>
    <row r="10">
      <c r="A10" s="2" t="n">
        <v>9</v>
      </c>
      <c r="B10" s="2" t="inlineStr">
        <is>
          <t>ORACLE</t>
        </is>
      </c>
      <c r="C10" s="2" t="inlineStr">
        <is>
          <t>Economics</t>
        </is>
      </c>
      <c r="D10" s="2" t="n">
        <v>4</v>
      </c>
      <c r="E10" s="2" t="n">
        <v>3</v>
      </c>
      <c r="F10" s="2" t="n">
        <v>21</v>
      </c>
      <c r="G10" s="2" t="inlineStr">
        <is>
          <t>Persistent</t>
        </is>
      </c>
      <c r="H10" s="2" t="n">
        <v>6</v>
      </c>
      <c r="I10" s="18">
        <f>H10/F10</f>
        <v/>
      </c>
    </row>
    <row r="11">
      <c r="A11" s="4" t="n">
        <v>10</v>
      </c>
      <c r="B11" s="4" t="inlineStr">
        <is>
          <t>QUANT</t>
        </is>
      </c>
      <c r="C11" s="4" t="inlineStr">
        <is>
          <t>Trading</t>
        </is>
      </c>
      <c r="D11" s="4" t="n">
        <v>5</v>
      </c>
      <c r="E11" s="4" t="n">
        <v>3</v>
      </c>
      <c r="F11" s="4" t="n">
        <v>34</v>
      </c>
      <c r="G11" s="4" t="inlineStr">
        <is>
          <t>Ephemeral</t>
        </is>
      </c>
      <c r="H11" s="4" t="n">
        <v>5</v>
      </c>
      <c r="I11" s="19">
        <f>H11/F11</f>
        <v/>
      </c>
    </row>
    <row r="12">
      <c r="A12" s="2" t="n">
        <v>11</v>
      </c>
      <c r="B12" s="2" t="inlineStr">
        <is>
          <t>FABRICATOR</t>
        </is>
      </c>
      <c r="C12" s="2" t="inlineStr">
        <is>
          <t>IoT/CAD</t>
        </is>
      </c>
      <c r="D12" s="2" t="n">
        <v>4</v>
      </c>
      <c r="E12" s="2" t="n">
        <v>1</v>
      </c>
      <c r="F12" s="2" t="n">
        <v>13</v>
      </c>
      <c r="G12" s="2" t="inlineStr">
        <is>
          <t>Ephemeral</t>
        </is>
      </c>
      <c r="H12" s="2" t="n">
        <v>1</v>
      </c>
      <c r="I12" s="18">
        <f>H12/F12</f>
        <v/>
      </c>
    </row>
    <row r="13">
      <c r="A13" s="4" t="n">
        <v>12</v>
      </c>
      <c r="B13" s="4" t="inlineStr">
        <is>
          <t>PERSONA</t>
        </is>
      </c>
      <c r="C13" s="4" t="inlineStr">
        <is>
          <t>Cognitive</t>
        </is>
      </c>
      <c r="D13" s="4" t="n">
        <v>5</v>
      </c>
      <c r="E13" s="4" t="n">
        <v>5</v>
      </c>
      <c r="F13" s="4" t="n">
        <v>34</v>
      </c>
      <c r="G13" s="4" t="inlineStr">
        <is>
          <t>Persistent</t>
        </is>
      </c>
      <c r="H13" s="4" t="n">
        <v>9</v>
      </c>
      <c r="I13" s="19">
        <f>H13/F13</f>
        <v/>
      </c>
    </row>
    <row r="14">
      <c r="A14" s="2" t="n">
        <v>13</v>
      </c>
      <c r="B14" s="2" t="inlineStr">
        <is>
          <t>SENTINEL</t>
        </is>
      </c>
      <c r="C14" s="2" t="inlineStr">
        <is>
          <t>Defense</t>
        </is>
      </c>
      <c r="D14" s="2" t="n">
        <v>6</v>
      </c>
      <c r="E14" s="2" t="n">
        <v>5</v>
      </c>
      <c r="F14" s="2" t="n">
        <v>55</v>
      </c>
      <c r="G14" s="2" t="inlineStr">
        <is>
          <t>Persistent</t>
        </is>
      </c>
      <c r="H14" s="2" t="n">
        <v>11</v>
      </c>
      <c r="I14" s="18">
        <f>H14/F14</f>
        <v/>
      </c>
    </row>
    <row r="15">
      <c r="A15" s="4" t="n">
        <v>14</v>
      </c>
      <c r="B15" s="4" t="inlineStr">
        <is>
          <t>NEXUS</t>
        </is>
      </c>
      <c r="C15" s="4" t="inlineStr">
        <is>
          <t>Web3</t>
        </is>
      </c>
      <c r="D15" s="4" t="n">
        <v>3</v>
      </c>
      <c r="E15" s="4" t="n">
        <v>1</v>
      </c>
      <c r="F15" s="4" t="n">
        <v>8</v>
      </c>
      <c r="G15" s="4" t="inlineStr">
        <is>
          <t>Ephemeral</t>
        </is>
      </c>
      <c r="H15" s="4" t="n">
        <v>1</v>
      </c>
      <c r="I15" s="19">
        <f>H15/F15</f>
        <v/>
      </c>
    </row>
    <row r="16">
      <c r="A16" s="2" t="n">
        <v>15</v>
      </c>
      <c r="B16" s="2" t="inlineStr">
        <is>
          <t>DREAMER</t>
        </is>
      </c>
      <c r="C16" s="2" t="inlineStr">
        <is>
          <t>Simulations</t>
        </is>
      </c>
      <c r="D16" s="2" t="n">
        <v>4</v>
      </c>
      <c r="E16" s="2" t="n">
        <v>1</v>
      </c>
      <c r="F16" s="2" t="n">
        <v>21</v>
      </c>
      <c r="G16" s="2" t="inlineStr">
        <is>
          <t>Ephemeral</t>
        </is>
      </c>
      <c r="H16" s="2" t="n">
        <v>2</v>
      </c>
      <c r="I16" s="18">
        <f>H16/F16</f>
        <v/>
      </c>
    </row>
    <row r="17">
      <c r="A17" s="4" t="n">
        <v>16</v>
      </c>
      <c r="B17" s="4" t="inlineStr">
        <is>
          <t>TENSOR</t>
        </is>
      </c>
      <c r="C17" s="4" t="inlineStr">
        <is>
          <t>CSL Logic</t>
        </is>
      </c>
      <c r="D17" s="4" t="n">
        <v>5</v>
      </c>
      <c r="E17" s="4" t="n">
        <v>5</v>
      </c>
      <c r="F17" s="4" t="n">
        <v>34</v>
      </c>
      <c r="G17" s="4" t="inlineStr">
        <is>
          <t>Persistent</t>
        </is>
      </c>
      <c r="H17" s="4" t="n">
        <v>8</v>
      </c>
      <c r="I17" s="19">
        <f>H17/F17</f>
        <v/>
      </c>
    </row>
    <row r="18">
      <c r="A18" s="2" t="n">
        <v>17</v>
      </c>
      <c r="B18" s="2" t="inlineStr">
        <is>
          <t>TOPOLOGY</t>
        </is>
      </c>
      <c r="C18" s="2" t="inlineStr">
        <is>
          <t>Spatial</t>
        </is>
      </c>
      <c r="D18" s="2" t="n">
        <v>4</v>
      </c>
      <c r="E18" s="2" t="n">
        <v>3</v>
      </c>
      <c r="F18" s="2" t="n">
        <v>21</v>
      </c>
      <c r="G18" s="2" t="inlineStr">
        <is>
          <t>Persistent</t>
        </is>
      </c>
      <c r="H18" s="2" t="n">
        <v>5</v>
      </c>
      <c r="I18" s="18">
        <f>H18/F18</f>
        <v/>
      </c>
    </row>
    <row r="20">
      <c r="A20" s="6" t="inlineStr">
        <is>
          <t>Totals</t>
        </is>
      </c>
      <c r="D20" s="20">
        <f>SUM(D2:D18)</f>
        <v/>
      </c>
      <c r="H20" s="21">
        <f>SUM(H2:H18)</f>
        <v/>
      </c>
    </row>
    <row r="21">
      <c r="A21" s="6" t="inlineStr">
        <is>
          <t>Max Capacity (FIB₂₀)</t>
        </is>
      </c>
      <c r="B21" s="22" t="n">
        <v>6765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0C040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12" customWidth="1" min="4" max="4"/>
    <col width="44" customWidth="1" min="5" max="5"/>
  </cols>
  <sheetData>
    <row r="1">
      <c r="A1" s="1" t="inlineStr">
        <is>
          <t>Constant</t>
        </is>
      </c>
      <c r="B1" s="1" t="inlineStr">
        <is>
          <t>Formula</t>
        </is>
      </c>
      <c r="C1" s="1" t="inlineStr">
        <is>
          <t>Value</t>
        </is>
      </c>
      <c r="D1" s="1" t="inlineStr">
        <is>
          <t>Domain</t>
        </is>
      </c>
      <c r="E1" s="1" t="inlineStr">
        <is>
          <t>Usage</t>
        </is>
      </c>
    </row>
    <row r="2">
      <c r="A2" s="2" t="inlineStr">
        <is>
          <t>PHI</t>
        </is>
      </c>
      <c r="B2" s="2" t="inlineStr">
        <is>
          <t>φ</t>
        </is>
      </c>
      <c r="C2" s="2" t="inlineStr">
        <is>
          <t>1.618033988749895</t>
        </is>
      </c>
      <c r="D2" s="2" t="inlineStr">
        <is>
          <t>Core</t>
        </is>
      </c>
      <c r="E2" s="2" t="inlineStr">
        <is>
          <t>Golden Ratio — base for all scaling</t>
        </is>
      </c>
    </row>
    <row r="3">
      <c r="A3" s="4" t="inlineStr">
        <is>
          <t>PSI</t>
        </is>
      </c>
      <c r="B3" s="4" t="inlineStr">
        <is>
          <t>1/φ</t>
        </is>
      </c>
      <c r="C3" s="4" t="inlineStr">
        <is>
          <t>0.618033988749895</t>
        </is>
      </c>
      <c r="D3" s="4" t="inlineStr">
        <is>
          <t>CSL</t>
        </is>
      </c>
      <c r="E3" s="4" t="inlineStr">
        <is>
          <t>Include gate threshold</t>
        </is>
      </c>
    </row>
    <row r="4">
      <c r="A4" s="2" t="inlineStr">
        <is>
          <t>PSI²</t>
        </is>
      </c>
      <c r="B4" s="2" t="inlineStr">
        <is>
          <t>(1/φ)²</t>
        </is>
      </c>
      <c r="C4" s="2" t="inlineStr">
        <is>
          <t>0.381966011250105</t>
        </is>
      </c>
      <c r="D4" s="2" t="inlineStr">
        <is>
          <t>CSL</t>
        </is>
      </c>
      <c r="E4" s="2" t="inlineStr">
        <is>
          <t>Recall gate threshold</t>
        </is>
      </c>
    </row>
    <row r="5">
      <c r="A5" s="4" t="inlineStr">
        <is>
          <t>PHI²</t>
        </is>
      </c>
      <c r="B5" s="4" t="inlineStr">
        <is>
          <t>φ²</t>
        </is>
      </c>
      <c r="C5" s="4" t="inlineStr">
        <is>
          <t>2.618033988749895</t>
        </is>
      </c>
      <c r="D5" s="4" t="inlineStr">
        <is>
          <t>Retry</t>
        </is>
      </c>
      <c r="E5" s="4" t="inlineStr">
        <is>
          <t>Backoff multiplier (seconds)</t>
        </is>
      </c>
    </row>
    <row r="6">
      <c r="A6" s="2" t="inlineStr">
        <is>
          <t>PHI³</t>
        </is>
      </c>
      <c r="B6" s="2" t="inlineStr">
        <is>
          <t>φ³</t>
        </is>
      </c>
      <c r="C6" s="2" t="inlineStr">
        <is>
          <t>4.236067977499790</t>
        </is>
      </c>
      <c r="D6" s="2" t="inlineStr">
        <is>
          <t>Network</t>
        </is>
      </c>
      <c r="E6" s="2" t="inlineStr">
        <is>
          <t>Request timeout (×1000 = 4236ms)</t>
        </is>
      </c>
    </row>
    <row r="7">
      <c r="A7" s="4" t="inlineStr">
        <is>
          <t>PHI⁵</t>
        </is>
      </c>
      <c r="B7" s="4" t="inlineStr">
        <is>
          <t>φ⁵</t>
        </is>
      </c>
      <c r="C7" s="4" t="inlineStr">
        <is>
          <t>11.090169943749474</t>
        </is>
      </c>
      <c r="D7" s="4" t="inlineStr">
        <is>
          <t>Pipeline</t>
        </is>
      </c>
      <c r="E7" s="4" t="inlineStr">
        <is>
          <t>Pipeline target (×1000 = 11090ms)</t>
        </is>
      </c>
    </row>
    <row r="8">
      <c r="A8" s="2" t="inlineStr">
        <is>
          <t>PHI⁷</t>
        </is>
      </c>
      <c r="B8" s="2" t="inlineStr">
        <is>
          <t>φ⁷</t>
        </is>
      </c>
      <c r="C8" s="2" t="inlineStr">
        <is>
          <t>29.034441853748632</t>
        </is>
      </c>
      <c r="D8" s="2" t="inlineStr">
        <is>
          <t>Heartbeat</t>
        </is>
      </c>
      <c r="E8" s="2" t="inlineStr">
        <is>
          <t>Redis SETEX interval (×1000 = 29034ms)</t>
        </is>
      </c>
    </row>
    <row r="9">
      <c r="A9" s="4" t="inlineStr">
        <is>
          <t>FIB[7]</t>
        </is>
      </c>
      <c r="B9" s="4" t="inlineStr">
        <is>
          <t>F(7)</t>
        </is>
      </c>
      <c r="C9" s="4" t="inlineStr">
        <is>
          <t>21</t>
        </is>
      </c>
      <c r="D9" s="4" t="inlineStr">
        <is>
          <t>Cache</t>
        </is>
      </c>
      <c r="E9" s="4" t="inlineStr">
        <is>
          <t>TOP_K / small cache size</t>
        </is>
      </c>
    </row>
    <row r="10">
      <c r="A10" s="2" t="inlineStr">
        <is>
          <t>FIB[8]</t>
        </is>
      </c>
      <c r="B10" s="2" t="inlineStr">
        <is>
          <t>F(8)</t>
        </is>
      </c>
      <c r="C10" s="2" t="inlineStr">
        <is>
          <t>34</t>
        </is>
      </c>
      <c r="D10" s="2" t="inlineStr">
        <is>
          <t>Rate Limit</t>
        </is>
      </c>
      <c r="E10" s="2" t="inlineStr">
        <is>
          <t>Anonymous: 34 req/min</t>
        </is>
      </c>
    </row>
    <row r="11">
      <c r="A11" s="4" t="inlineStr">
        <is>
          <t>FIB[9]</t>
        </is>
      </c>
      <c r="B11" s="4" t="inlineStr">
        <is>
          <t>F(9)</t>
        </is>
      </c>
      <c r="C11" s="4" t="inlineStr">
        <is>
          <t>55</t>
        </is>
      </c>
      <c r="D11" s="4" t="inlineStr">
        <is>
          <t>Cache/UI</t>
        </is>
      </c>
      <c r="E11" s="4" t="inlineStr">
        <is>
          <t>Medium cache / topbar height (px)</t>
        </is>
      </c>
    </row>
    <row r="12">
      <c r="A12" s="2" t="inlineStr">
        <is>
          <t>FIB[10]</t>
        </is>
      </c>
      <c r="B12" s="2" t="inlineStr">
        <is>
          <t>F(10)</t>
        </is>
      </c>
      <c r="C12" s="2" t="inlineStr">
        <is>
          <t>89</t>
        </is>
      </c>
      <c r="D12" s="2" t="inlineStr">
        <is>
          <t>Rate Limit</t>
        </is>
      </c>
      <c r="E12" s="2" t="inlineStr">
        <is>
          <t>Authenticated: 89 req/min</t>
        </is>
      </c>
    </row>
    <row r="13">
      <c r="A13" s="4" t="inlineStr">
        <is>
          <t>FIB[11]</t>
        </is>
      </c>
      <c r="B13" s="4" t="inlineStr">
        <is>
          <t>F(11)</t>
        </is>
      </c>
      <c r="C13" s="4" t="inlineStr">
        <is>
          <t>144</t>
        </is>
      </c>
      <c r="D13" s="4" t="inlineStr">
        <is>
          <t>UI</t>
        </is>
      </c>
      <c r="E13" s="4" t="inlineStr">
        <is>
          <t>Large cache / spacing (px)</t>
        </is>
      </c>
    </row>
    <row r="14">
      <c r="A14" s="2" t="inlineStr">
        <is>
          <t>FIB[12]</t>
        </is>
      </c>
      <c r="B14" s="2" t="inlineStr">
        <is>
          <t>F(12)</t>
        </is>
      </c>
      <c r="C14" s="2" t="inlineStr">
        <is>
          <t>233</t>
        </is>
      </c>
      <c r="D14" s="2" t="inlineStr">
        <is>
          <t>Rate Limit</t>
        </is>
      </c>
      <c r="E14" s="2" t="inlineStr">
        <is>
          <t>Enterprise: 233 req/min</t>
        </is>
      </c>
    </row>
    <row r="15">
      <c r="A15" s="4" t="inlineStr">
        <is>
          <t>FIB[13]</t>
        </is>
      </c>
      <c r="B15" s="4" t="inlineStr">
        <is>
          <t>F(13)</t>
        </is>
      </c>
      <c r="C15" s="4" t="inlineStr">
        <is>
          <t>377</t>
        </is>
      </c>
      <c r="D15" s="4" t="inlineStr">
        <is>
          <t>UI</t>
        </is>
      </c>
      <c r="E15" s="4" t="inlineStr">
        <is>
          <t>HeadyBuddy panel width (px)</t>
        </is>
      </c>
    </row>
    <row r="16">
      <c r="A16" s="2" t="inlineStr">
        <is>
          <t>FIB[20]</t>
        </is>
      </c>
      <c r="B16" s="2" t="inlineStr">
        <is>
          <t>F(20)</t>
        </is>
      </c>
      <c r="C16" s="2" t="inlineStr">
        <is>
          <t>6765</t>
        </is>
      </c>
      <c r="D16" s="2" t="inlineStr">
        <is>
          <t>Swarm</t>
        </is>
      </c>
      <c r="E16" s="2" t="inlineStr">
        <is>
          <t>Max concurrent bees</t>
        </is>
      </c>
    </row>
    <row r="17">
      <c r="A17" s="4" t="inlineStr">
        <is>
          <t>VECTOR_DIM</t>
        </is>
      </c>
      <c r="B17" s="4" t="inlineStr">
        <is>
          <t>—</t>
        </is>
      </c>
      <c r="C17" s="4" t="inlineStr">
        <is>
          <t>384</t>
        </is>
      </c>
      <c r="D17" s="4" t="inlineStr">
        <is>
          <t>Memory</t>
        </is>
      </c>
      <c r="E17" s="4" t="inlineStr">
        <is>
          <t>all-MiniLM-L6-v2 embedding dimensions</t>
        </is>
      </c>
    </row>
    <row r="18">
      <c r="A18" s="2" t="inlineStr">
        <is>
          <t>CSL INCLUDE</t>
        </is>
      </c>
      <c r="B18" s="2" t="inlineStr">
        <is>
          <t>≥ PSI</t>
        </is>
      </c>
      <c r="C18" s="2" t="inlineStr">
        <is>
          <t>0.618</t>
        </is>
      </c>
      <c r="D18" s="2" t="inlineStr">
        <is>
          <t>CSL</t>
        </is>
      </c>
      <c r="E18" s="2" t="inlineStr">
        <is>
          <t>Add to response context</t>
        </is>
      </c>
    </row>
    <row r="19">
      <c r="A19" s="4" t="inlineStr">
        <is>
          <t>CSL CORE</t>
        </is>
      </c>
      <c r="B19" s="4" t="inlineStr">
        <is>
          <t>≥ PSI+0.1</t>
        </is>
      </c>
      <c r="C19" s="4" t="inlineStr">
        <is>
          <t>0.718</t>
        </is>
      </c>
      <c r="D19" s="4" t="inlineStr">
        <is>
          <t>CSL</t>
        </is>
      </c>
      <c r="E19" s="4" t="inlineStr">
        <is>
          <t>Inject into active context</t>
        </is>
      </c>
    </row>
    <row r="20">
      <c r="A20" s="2" t="inlineStr">
        <is>
          <t>CSL RECALL</t>
        </is>
      </c>
      <c r="B20" s="2" t="inlineStr">
        <is>
          <t>≥ PSI²</t>
        </is>
      </c>
      <c r="C20" s="2" t="inlineStr">
        <is>
          <t>0.382</t>
        </is>
      </c>
      <c r="D20" s="2" t="inlineStr">
        <is>
          <t>CSL</t>
        </is>
      </c>
      <c r="E20" s="2" t="inlineStr">
        <is>
          <t>Available via search</t>
        </is>
      </c>
    </row>
    <row r="21">
      <c r="A21" s="4" t="inlineStr">
        <is>
          <t>ROLLOUT</t>
        </is>
      </c>
      <c r="B21" s="4" t="inlineStr">
        <is>
          <t>φ-stepped</t>
        </is>
      </c>
      <c r="C21" s="4" t="inlineStr">
        <is>
          <t>6.18% → 38.2% → 61.8% → 100%</t>
        </is>
      </c>
      <c r="D21" s="4" t="inlineStr">
        <is>
          <t>Deploy</t>
        </is>
      </c>
      <c r="E21" s="4" t="inlineStr">
        <is>
          <t>Canary rollout stages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2026-03-17T18:36:09Z</dcterms:created>
  <dcterms:modified xmlns:dcterms="http://purl.org/dc/terms/" xmlns:xsi="http://www.w3.org/2001/XMLSchema-instance" xsi:type="dcterms:W3CDTF">2026-03-17T18:36:09Z</dcterms:modified>
</cp:coreProperties>
</file>